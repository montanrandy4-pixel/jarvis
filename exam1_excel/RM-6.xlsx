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1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capacity by source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'2.1.6'!B3</f>
            </strRef>
          </tx>
          <spPr>
            <a:ln>
              <a:prstDash val="solid"/>
            </a:ln>
          </spPr>
          <cat>
            <numRef>
              <f>'2.1.6'!$A$4:$A$10</f>
            </numRef>
          </cat>
          <val>
            <numRef>
              <f>'2.1.6'!$B$4:$B$10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50" customWidth="1" min="3" max="3"/>
  </cols>
  <sheetData>
    <row r="1">
      <c r="A1" s="1" t="inlineStr">
        <is>
          <t>Question 2.1.6 - Summer power-generating capacity by energy source</t>
        </is>
      </c>
    </row>
    <row r="3">
      <c r="A3" s="1" t="inlineStr">
        <is>
          <t>Energy Source</t>
        </is>
      </c>
      <c r="B3" s="1" t="inlineStr">
        <is>
          <t>Percentage</t>
        </is>
      </c>
    </row>
    <row r="4">
      <c r="A4" t="inlineStr">
        <is>
          <t>Coal</t>
        </is>
      </c>
      <c r="B4" t="n">
        <v>27</v>
      </c>
    </row>
    <row r="5">
      <c r="A5" t="inlineStr">
        <is>
          <t>Hydro</t>
        </is>
      </c>
      <c r="B5" t="n">
        <v>6.6</v>
      </c>
    </row>
    <row r="6">
      <c r="A6" t="inlineStr">
        <is>
          <t>Natural gas</t>
        </is>
      </c>
      <c r="B6" t="n">
        <v>42.6</v>
      </c>
    </row>
    <row r="7">
      <c r="A7" t="inlineStr">
        <is>
          <t>Nuclear</t>
        </is>
      </c>
      <c r="B7" t="n">
        <v>9.1</v>
      </c>
    </row>
    <row r="8">
      <c r="A8" t="inlineStr">
        <is>
          <t>Solar</t>
        </is>
      </c>
      <c r="B8" t="n">
        <v>3.2</v>
      </c>
    </row>
    <row r="9">
      <c r="A9" t="inlineStr">
        <is>
          <t>Wind</t>
        </is>
      </c>
      <c r="B9" t="n">
        <v>7.3</v>
      </c>
    </row>
    <row r="10">
      <c r="A10" t="inlineStr">
        <is>
          <t>Other</t>
        </is>
      </c>
      <c r="B10" t="n">
        <v>4.2</v>
      </c>
    </row>
    <row r="11">
      <c r="A11" t="inlineStr">
        <is>
          <t>Total (check = 100)</t>
        </is>
      </c>
      <c r="B11">
        <f>SUM(B4:B10)</f>
        <v/>
      </c>
    </row>
    <row r="13">
      <c r="A13" s="1" t="inlineStr">
        <is>
          <t>Conclusion checks</t>
        </is>
      </c>
    </row>
    <row r="14">
      <c r="A14" t="inlineStr">
        <is>
          <t>A. Natural gas + Coal</t>
        </is>
      </c>
      <c r="B14">
        <f>B6+B4</f>
        <v/>
      </c>
      <c r="C14">
        <f>IF(B14&lt;50,"TRUE (less than half)","FALSE (more than half)")</f>
        <v/>
      </c>
    </row>
    <row r="15">
      <c r="A15" t="inlineStr">
        <is>
          <t>B. Highest source</t>
        </is>
      </c>
      <c r="B15">
        <f>MAX(B4:B10)</f>
        <v/>
      </c>
      <c r="C15">
        <f>"Highest is "&amp;INDEX(A4:A10,MATCH(B15,B4:B10,0))&amp;" -&gt; Coal highest? "&amp;IF(INDEX(A4:A10,MATCH(B15,B4:B10,0))="Coal","TRUE","FALSE")</f>
        <v/>
      </c>
    </row>
    <row r="16">
      <c r="A16" t="inlineStr">
        <is>
          <t>C. Nuclear+Wind+Hydro+Other+Solar</t>
        </is>
      </c>
      <c r="B16">
        <f>B7+B9+B5+B10+B8</f>
        <v/>
      </c>
      <c r="C16">
        <f>IF(B16&lt;50,"TRUE (less than half)","FALSE (more than half)")</f>
        <v/>
      </c>
    </row>
    <row r="17">
      <c r="A17" t="inlineStr">
        <is>
          <t>D. Natural gas highest?</t>
        </is>
      </c>
      <c r="B17">
        <f>B6</f>
        <v/>
      </c>
      <c r="C17">
        <f>IF(B6=MAX(B4:B10),"TRUE","FALSE")</f>
        <v/>
      </c>
    </row>
    <row r="19">
      <c r="A19" s="1" t="inlineStr">
        <is>
          <t>Answer: C and 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2026-10-02T23:08:01Z</dcterms:created>
  <dcterms:modified xsi:type="dcterms:W3CDTF">2026-10-02T23:08:01Z</dcterms:modified>
</cp:coreProperties>
</file>