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3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Boxplot (min=0, Q1, median, Q3, max=17)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'3.3.21'!H4</f>
            </strRef>
          </tx>
          <spPr>
            <a:noFill/>
            <a:ln>
              <a:noFill/>
              <a:prstDash val="solid"/>
            </a:ln>
          </spPr>
          <val>
            <numRef>
              <f>'3.3.21'!$H$5</f>
            </numRef>
          </val>
        </ser>
        <ser>
          <idx val="1"/>
          <order val="1"/>
          <tx>
            <strRef>
              <f>'3.3.21'!I4</f>
            </strRef>
          </tx>
          <spPr>
            <a:ln>
              <a:prstDash val="solid"/>
            </a:ln>
          </spPr>
          <val>
            <numRef>
              <f>'3.3.21'!$I$5</f>
            </numRef>
          </val>
        </ser>
        <ser>
          <idx val="2"/>
          <order val="2"/>
          <tx>
            <strRef>
              <f>'3.3.21'!J4</f>
            </strRef>
          </tx>
          <spPr>
            <a:ln>
              <a:prstDash val="solid"/>
            </a:ln>
          </spPr>
          <val>
            <numRef>
              <f>'3.3.21'!$J$5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4" customWidth="1" min="5" max="5"/>
    <col width="20" customWidth="1" min="8" max="8"/>
  </cols>
  <sheetData>
    <row r="1">
      <c r="A1" s="1" t="inlineStr">
        <is>
          <t>Question 3.3.21 - Quartiles, five-number summary, boxplot (n = 7)</t>
        </is>
      </c>
    </row>
    <row r="3">
      <c r="A3" s="1" t="inlineStr">
        <is>
          <t>Original data</t>
        </is>
      </c>
      <c r="C3" s="1" t="inlineStr">
        <is>
          <t>Sorted</t>
        </is>
      </c>
      <c r="E3" s="1" t="inlineStr">
        <is>
          <t>Calculations</t>
        </is>
      </c>
      <c r="H3" s="1" t="inlineStr">
        <is>
          <t>Boxplot helper</t>
        </is>
      </c>
    </row>
    <row r="4">
      <c r="A4" t="n">
        <v>0</v>
      </c>
      <c r="C4">
        <f>SMALL($A$4:$A$10,1)</f>
        <v/>
      </c>
      <c r="E4" t="inlineStr">
        <is>
          <t>n</t>
        </is>
      </c>
      <c r="F4">
        <f>COUNT(A4:A10)</f>
        <v/>
      </c>
      <c r="H4" t="inlineStr">
        <is>
          <t>Min..Q1 (box start)</t>
        </is>
      </c>
      <c r="I4" t="inlineStr">
        <is>
          <t>Q1..Median</t>
        </is>
      </c>
      <c r="J4" t="inlineStr">
        <is>
          <t>Median..Q3</t>
        </is>
      </c>
    </row>
    <row r="5">
      <c r="A5" t="n">
        <v>16</v>
      </c>
      <c r="C5">
        <f>SMALL($A$4:$A$10,2)</f>
        <v/>
      </c>
      <c r="E5" t="inlineStr">
        <is>
          <t>Q1 position = (n+1)/4</t>
        </is>
      </c>
      <c r="F5">
        <f>(F4+1)/4</f>
        <v/>
      </c>
      <c r="H5">
        <f>F18</f>
        <v/>
      </c>
      <c r="I5">
        <f>F19-F18</f>
        <v/>
      </c>
      <c r="J5">
        <f>F20-F19</f>
        <v/>
      </c>
    </row>
    <row r="6">
      <c r="A6" t="n">
        <v>17</v>
      </c>
      <c r="C6">
        <f>SMALL($A$4:$A$10,3)</f>
        <v/>
      </c>
      <c r="E6" t="inlineStr">
        <is>
          <t>Q1 = value at that rank (sorted)</t>
        </is>
      </c>
      <c r="F6">
        <f>INDEX(C4:C10,F5)</f>
        <v/>
      </c>
    </row>
    <row r="7">
      <c r="A7" t="n">
        <v>6</v>
      </c>
      <c r="C7">
        <f>SMALL($A$4:$A$10,4)</f>
        <v/>
      </c>
      <c r="E7" t="inlineStr">
        <is>
          <t>Median position = (n+1)/2</t>
        </is>
      </c>
      <c r="F7">
        <f>(F4+1)/2</f>
        <v/>
      </c>
      <c r="H7" t="inlineStr">
        <is>
          <t>Whiskers: Min to Q1 and Q3 to Max</t>
        </is>
      </c>
    </row>
    <row r="8">
      <c r="A8" t="n">
        <v>15</v>
      </c>
      <c r="C8">
        <f>SMALL($A$4:$A$10,5)</f>
        <v/>
      </c>
      <c r="E8" t="inlineStr">
        <is>
          <t>Median</t>
        </is>
      </c>
      <c r="F8">
        <f>INDEX(C4:C10,F7)</f>
        <v/>
      </c>
    </row>
    <row r="9">
      <c r="A9" t="n">
        <v>15</v>
      </c>
      <c r="C9">
        <f>SMALL($A$4:$A$10,6)</f>
        <v/>
      </c>
      <c r="E9" t="inlineStr">
        <is>
          <t>Q3 position = 3(n+1)/4</t>
        </is>
      </c>
      <c r="F9">
        <f>3*(F4+1)/4</f>
        <v/>
      </c>
    </row>
    <row r="10">
      <c r="A10" t="n">
        <v>13</v>
      </c>
      <c r="C10">
        <f>SMALL($A$4:$A$10,7)</f>
        <v/>
      </c>
      <c r="E10" t="inlineStr">
        <is>
          <t>Q3 = value at that rank (sorted)</t>
        </is>
      </c>
      <c r="F10">
        <f>INDEX(C4:C10,F9)</f>
        <v/>
      </c>
    </row>
    <row r="11">
      <c r="E11" t="inlineStr">
        <is>
          <t>IQR = Q3 - Q1</t>
        </is>
      </c>
      <c r="F11">
        <f>F10-F6</f>
        <v/>
      </c>
    </row>
    <row r="12">
      <c r="E12" t="inlineStr">
        <is>
          <t>Check: QUARTILE.EXC Q1</t>
        </is>
      </c>
      <c r="F12">
        <f>QUARTILE.EXC(A4:A10,1)</f>
        <v/>
      </c>
    </row>
    <row r="13">
      <c r="E13" t="inlineStr">
        <is>
          <t>Check: QUARTILE.EXC Q3</t>
        </is>
      </c>
      <c r="F13">
        <f>QUARTILE.EXC(A4:A10,3)</f>
        <v/>
      </c>
    </row>
    <row r="16">
      <c r="E16" s="1" t="inlineStr">
        <is>
          <t>Five-number summary</t>
        </is>
      </c>
    </row>
    <row r="17">
      <c r="E17" t="inlineStr">
        <is>
          <t>Minimum</t>
        </is>
      </c>
      <c r="F17">
        <f>MIN(A4:A10)</f>
        <v/>
      </c>
    </row>
    <row r="18">
      <c r="E18" t="inlineStr">
        <is>
          <t>Q1</t>
        </is>
      </c>
      <c r="F18">
        <f>F6</f>
        <v/>
      </c>
    </row>
    <row r="19">
      <c r="E19" t="inlineStr">
        <is>
          <t>Median</t>
        </is>
      </c>
      <c r="F19">
        <f>F8</f>
        <v/>
      </c>
    </row>
    <row r="20">
      <c r="E20" t="inlineStr">
        <is>
          <t>Q3</t>
        </is>
      </c>
      <c r="F20">
        <f>F10</f>
        <v/>
      </c>
    </row>
    <row r="21">
      <c r="E21" t="inlineStr">
        <is>
          <t>Maximum</t>
        </is>
      </c>
      <c r="F21">
        <f>MAX(A4:A10)</f>
        <v/>
      </c>
    </row>
    <row r="23">
      <c r="E23" s="1" t="inlineStr">
        <is>
          <t>Shape</t>
        </is>
      </c>
    </row>
    <row r="24">
      <c r="E24" t="inlineStr">
        <is>
          <t>Median - Min</t>
        </is>
      </c>
      <c r="F24">
        <f>F19-F17</f>
        <v/>
      </c>
    </row>
    <row r="25">
      <c r="E25" t="inlineStr">
        <is>
          <t>Max - Median</t>
        </is>
      </c>
      <c r="F25">
        <f>F21-F19</f>
        <v/>
      </c>
    </row>
    <row r="26">
      <c r="E26" t="inlineStr">
        <is>
          <t>Mean</t>
        </is>
      </c>
      <c r="F26">
        <f>AVERAGE(A4:A10)</f>
        <v/>
      </c>
    </row>
    <row r="27">
      <c r="E27" t="inlineStr">
        <is>
          <t>Shape</t>
        </is>
      </c>
      <c r="F27">
        <f>IF(F24&gt;F25,"Skewed left (negative)",IF(F24&lt;F25,"Skewed right (positive)","Symmetric"))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2026-10-02T23:08:01Z</dcterms:created>
  <dcterms:modified xsi:type="dcterms:W3CDTF">2026-10-02T23:08:01Z</dcterms:modified>
</cp:coreProperties>
</file>