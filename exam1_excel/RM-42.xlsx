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4.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Percentage Histogram - Credit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'2.4.42'!G3</f>
            </strRef>
          </tx>
          <spPr>
            <a:ln>
              <a:prstDash val="solid"/>
            </a:ln>
          </spPr>
          <cat>
            <numRef>
              <f>'2.4.42'!$E$4:$E$12</f>
            </numRef>
          </cat>
          <val>
            <numRef>
              <f>'2.4.42'!$G$4:$G$12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Credit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Question 2.4.42 - Average credit scores of 143 cities</t>
        </is>
      </c>
    </row>
    <row r="3">
      <c r="A3" s="1" t="inlineStr">
        <is>
          <t>Credit Score</t>
        </is>
      </c>
      <c r="C3" s="1" t="inlineStr">
        <is>
          <t>Bin lower (&gt;=)</t>
        </is>
      </c>
      <c r="D3" s="1" t="inlineStr">
        <is>
          <t>Bin upper (&lt;)</t>
        </is>
      </c>
      <c r="E3" s="1" t="inlineStr">
        <is>
          <t>Label</t>
        </is>
      </c>
      <c r="F3" s="1" t="inlineStr">
        <is>
          <t>Frequency</t>
        </is>
      </c>
      <c r="G3" s="1" t="inlineStr">
        <is>
          <t>Percentage (%)</t>
        </is>
      </c>
    </row>
    <row r="4">
      <c r="A4" t="n">
        <v>700</v>
      </c>
      <c r="C4" t="n">
        <v>700</v>
      </c>
      <c r="D4">
        <f>C4+10</f>
        <v/>
      </c>
      <c r="E4">
        <f>C4&amp;"-&lt;"&amp;D4</f>
        <v/>
      </c>
      <c r="F4">
        <f>COUNTIFS($A$4:$A$146,"&gt;="&amp;C4,$A$4:$A$146,"&lt;"&amp;D4)</f>
        <v/>
      </c>
      <c r="G4">
        <f>F4/$F$13*100</f>
        <v/>
      </c>
    </row>
    <row r="5">
      <c r="A5" t="n">
        <v>701</v>
      </c>
      <c r="C5" t="n">
        <v>710</v>
      </c>
      <c r="D5">
        <f>C5+10</f>
        <v/>
      </c>
      <c r="E5">
        <f>C5&amp;"-&lt;"&amp;D5</f>
        <v/>
      </c>
      <c r="F5">
        <f>COUNTIFS($A$4:$A$146,"&gt;="&amp;C5,$A$4:$A$146,"&lt;"&amp;D5)</f>
        <v/>
      </c>
      <c r="G5">
        <f>F5/$F$13*100</f>
        <v/>
      </c>
    </row>
    <row r="6">
      <c r="A6" t="n">
        <v>701</v>
      </c>
      <c r="C6" t="n">
        <v>720</v>
      </c>
      <c r="D6">
        <f>C6+10</f>
        <v/>
      </c>
      <c r="E6">
        <f>C6&amp;"-&lt;"&amp;D6</f>
        <v/>
      </c>
      <c r="F6">
        <f>COUNTIFS($A$4:$A$146,"&gt;="&amp;C6,$A$4:$A$146,"&lt;"&amp;D6)</f>
        <v/>
      </c>
      <c r="G6">
        <f>F6/$F$13*100</f>
        <v/>
      </c>
    </row>
    <row r="7">
      <c r="A7" t="n">
        <v>702</v>
      </c>
      <c r="C7" t="n">
        <v>730</v>
      </c>
      <c r="D7">
        <f>C7+10</f>
        <v/>
      </c>
      <c r="E7">
        <f>C7&amp;"-&lt;"&amp;D7</f>
        <v/>
      </c>
      <c r="F7">
        <f>COUNTIFS($A$4:$A$146,"&gt;="&amp;C7,$A$4:$A$146,"&lt;"&amp;D7)</f>
        <v/>
      </c>
      <c r="G7">
        <f>F7/$F$13*100</f>
        <v/>
      </c>
    </row>
    <row r="8">
      <c r="A8" t="n">
        <v>702</v>
      </c>
      <c r="C8" t="n">
        <v>740</v>
      </c>
      <c r="D8">
        <f>C8+10</f>
        <v/>
      </c>
      <c r="E8">
        <f>C8&amp;"-&lt;"&amp;D8</f>
        <v/>
      </c>
      <c r="F8">
        <f>COUNTIFS($A$4:$A$146,"&gt;="&amp;C8,$A$4:$A$146,"&lt;"&amp;D8)</f>
        <v/>
      </c>
      <c r="G8">
        <f>F8/$F$13*100</f>
        <v/>
      </c>
    </row>
    <row r="9">
      <c r="A9" t="n">
        <v>704</v>
      </c>
      <c r="C9" t="n">
        <v>750</v>
      </c>
      <c r="D9">
        <f>C9+10</f>
        <v/>
      </c>
      <c r="E9">
        <f>C9&amp;"-&lt;"&amp;D9</f>
        <v/>
      </c>
      <c r="F9">
        <f>COUNTIFS($A$4:$A$146,"&gt;="&amp;C9,$A$4:$A$146,"&lt;"&amp;D9)</f>
        <v/>
      </c>
      <c r="G9">
        <f>F9/$F$13*100</f>
        <v/>
      </c>
    </row>
    <row r="10">
      <c r="A10" t="n">
        <v>705</v>
      </c>
      <c r="C10" t="n">
        <v>760</v>
      </c>
      <c r="D10">
        <f>C10+10</f>
        <v/>
      </c>
      <c r="E10">
        <f>C10&amp;"-&lt;"&amp;D10</f>
        <v/>
      </c>
      <c r="F10">
        <f>COUNTIFS($A$4:$A$146,"&gt;="&amp;C10,$A$4:$A$146,"&lt;"&amp;D10)</f>
        <v/>
      </c>
      <c r="G10">
        <f>F10/$F$13*100</f>
        <v/>
      </c>
    </row>
    <row r="11">
      <c r="A11" t="n">
        <v>707</v>
      </c>
      <c r="C11" t="n">
        <v>770</v>
      </c>
      <c r="D11">
        <f>C11+10</f>
        <v/>
      </c>
      <c r="E11">
        <f>C11&amp;"-&lt;"&amp;D11</f>
        <v/>
      </c>
      <c r="F11">
        <f>COUNTIFS($A$4:$A$146,"&gt;="&amp;C11,$A$4:$A$146,"&lt;"&amp;D11)</f>
        <v/>
      </c>
      <c r="G11">
        <f>F11/$F$13*100</f>
        <v/>
      </c>
    </row>
    <row r="12">
      <c r="A12" t="n">
        <v>710</v>
      </c>
      <c r="C12" t="n">
        <v>780</v>
      </c>
      <c r="D12">
        <f>C12+10</f>
        <v/>
      </c>
      <c r="E12">
        <f>C12&amp;"-&lt;"&amp;D12</f>
        <v/>
      </c>
      <c r="F12">
        <f>COUNTIFS($A$4:$A$146,"&gt;="&amp;C12,$A$4:$A$146,"&lt;"&amp;D12)</f>
        <v/>
      </c>
      <c r="G12">
        <f>F12/$F$13*100</f>
        <v/>
      </c>
    </row>
    <row r="13">
      <c r="A13" t="n">
        <v>711</v>
      </c>
      <c r="E13" t="inlineStr">
        <is>
          <t>Total</t>
        </is>
      </c>
      <c r="F13">
        <f>SUM(F4:F12)</f>
        <v/>
      </c>
      <c r="G13">
        <f>SUM(G4:G12)</f>
        <v/>
      </c>
    </row>
    <row r="14">
      <c r="A14" t="n">
        <v>711</v>
      </c>
    </row>
    <row r="15">
      <c r="A15" t="n">
        <v>711</v>
      </c>
      <c r="C15" t="inlineStr">
        <is>
          <t>n (COUNT)</t>
        </is>
      </c>
      <c r="D15">
        <f>COUNT($A$4:$A$146)</f>
        <v/>
      </c>
    </row>
    <row r="16">
      <c r="A16" t="n">
        <v>712</v>
      </c>
      <c r="C16" t="inlineStr">
        <is>
          <t>Min</t>
        </is>
      </c>
      <c r="D16">
        <f>MIN($A$4:$A$146)</f>
        <v/>
      </c>
    </row>
    <row r="17">
      <c r="A17" t="n">
        <v>712</v>
      </c>
      <c r="C17" t="inlineStr">
        <is>
          <t>Max</t>
        </is>
      </c>
      <c r="D17">
        <f>MAX($A$4:$A$146)</f>
        <v/>
      </c>
    </row>
    <row r="18">
      <c r="A18" t="n">
        <v>714</v>
      </c>
      <c r="C18" t="inlineStr">
        <is>
          <t>Mean</t>
        </is>
      </c>
      <c r="D18">
        <f>AVERAGE($A$4:$A$146)</f>
        <v/>
      </c>
    </row>
    <row r="19">
      <c r="A19" t="n">
        <v>714</v>
      </c>
      <c r="C19" t="inlineStr">
        <is>
          <t>Median</t>
        </is>
      </c>
      <c r="D19">
        <f>MEDIAN($A$4:$A$146)</f>
        <v/>
      </c>
    </row>
    <row r="20">
      <c r="A20" t="n">
        <v>715</v>
      </c>
      <c r="C20" t="inlineStr">
        <is>
          <t>Std Dev (sample)</t>
        </is>
      </c>
      <c r="D20">
        <f>STDEV.S($A$4:$A$146)</f>
        <v/>
      </c>
    </row>
    <row r="21">
      <c r="A21" t="n">
        <v>715</v>
      </c>
    </row>
    <row r="22">
      <c r="A22" t="n">
        <v>717</v>
      </c>
    </row>
    <row r="23">
      <c r="A23" t="n">
        <v>717</v>
      </c>
    </row>
    <row r="24">
      <c r="A24" t="n">
        <v>720</v>
      </c>
    </row>
    <row r="25">
      <c r="A25" t="n">
        <v>721</v>
      </c>
    </row>
    <row r="26">
      <c r="A26" t="n">
        <v>721</v>
      </c>
    </row>
    <row r="27">
      <c r="A27" t="n">
        <v>721</v>
      </c>
    </row>
    <row r="28">
      <c r="A28" t="n">
        <v>722</v>
      </c>
    </row>
    <row r="29">
      <c r="A29" t="n">
        <v>722</v>
      </c>
    </row>
    <row r="30">
      <c r="A30" t="n">
        <v>724</v>
      </c>
    </row>
    <row r="31">
      <c r="A31" t="n">
        <v>724</v>
      </c>
    </row>
    <row r="32">
      <c r="A32" t="n">
        <v>725</v>
      </c>
    </row>
    <row r="33">
      <c r="A33" t="n">
        <v>727</v>
      </c>
    </row>
    <row r="34">
      <c r="A34" t="n">
        <v>730</v>
      </c>
    </row>
    <row r="35">
      <c r="A35" t="n">
        <v>731</v>
      </c>
    </row>
    <row r="36">
      <c r="A36" t="n">
        <v>731</v>
      </c>
    </row>
    <row r="37">
      <c r="A37" t="n">
        <v>731</v>
      </c>
    </row>
    <row r="38">
      <c r="A38" t="n">
        <v>731</v>
      </c>
    </row>
    <row r="39">
      <c r="A39" t="n">
        <v>732</v>
      </c>
    </row>
    <row r="40">
      <c r="A40" t="n">
        <v>732</v>
      </c>
    </row>
    <row r="41">
      <c r="A41" t="n">
        <v>734</v>
      </c>
    </row>
    <row r="42">
      <c r="A42" t="n">
        <v>734</v>
      </c>
    </row>
    <row r="43">
      <c r="A43" t="n">
        <v>735</v>
      </c>
    </row>
    <row r="44">
      <c r="A44" t="n">
        <v>735</v>
      </c>
    </row>
    <row r="45">
      <c r="A45" t="n">
        <v>735</v>
      </c>
    </row>
    <row r="46">
      <c r="A46" t="n">
        <v>736</v>
      </c>
    </row>
    <row r="47">
      <c r="A47" t="n">
        <v>737</v>
      </c>
    </row>
    <row r="48">
      <c r="A48" t="n">
        <v>737</v>
      </c>
    </row>
    <row r="49">
      <c r="A49" t="n">
        <v>737</v>
      </c>
    </row>
    <row r="50">
      <c r="A50" t="n">
        <v>737</v>
      </c>
    </row>
    <row r="51">
      <c r="A51" t="n">
        <v>737</v>
      </c>
    </row>
    <row r="52">
      <c r="A52" t="n">
        <v>738</v>
      </c>
    </row>
    <row r="53">
      <c r="A53" t="n">
        <v>738</v>
      </c>
    </row>
    <row r="54">
      <c r="A54" t="n">
        <v>740</v>
      </c>
    </row>
    <row r="55">
      <c r="A55" t="n">
        <v>741</v>
      </c>
    </row>
    <row r="56">
      <c r="A56" t="n">
        <v>741</v>
      </c>
    </row>
    <row r="57">
      <c r="A57" t="n">
        <v>741</v>
      </c>
    </row>
    <row r="58">
      <c r="A58" t="n">
        <v>741</v>
      </c>
    </row>
    <row r="59">
      <c r="A59" t="n">
        <v>742</v>
      </c>
    </row>
    <row r="60">
      <c r="A60" t="n">
        <v>742</v>
      </c>
    </row>
    <row r="61">
      <c r="A61" t="n">
        <v>744</v>
      </c>
    </row>
    <row r="62">
      <c r="A62" t="n">
        <v>744</v>
      </c>
    </row>
    <row r="63">
      <c r="A63" t="n">
        <v>745</v>
      </c>
    </row>
    <row r="64">
      <c r="A64" t="n">
        <v>745</v>
      </c>
    </row>
    <row r="65">
      <c r="A65" t="n">
        <v>745</v>
      </c>
    </row>
    <row r="66">
      <c r="A66" t="n">
        <v>746</v>
      </c>
    </row>
    <row r="67">
      <c r="A67" t="n">
        <v>747</v>
      </c>
    </row>
    <row r="68">
      <c r="A68" t="n">
        <v>747</v>
      </c>
    </row>
    <row r="69">
      <c r="A69" t="n">
        <v>747</v>
      </c>
    </row>
    <row r="70">
      <c r="A70" t="n">
        <v>747</v>
      </c>
    </row>
    <row r="71">
      <c r="A71" t="n">
        <v>748</v>
      </c>
    </row>
    <row r="72">
      <c r="A72" t="n">
        <v>748</v>
      </c>
    </row>
    <row r="73">
      <c r="A73" t="n">
        <v>750</v>
      </c>
    </row>
    <row r="74">
      <c r="A74" t="n">
        <v>750</v>
      </c>
    </row>
    <row r="75">
      <c r="A75" t="n">
        <v>751</v>
      </c>
    </row>
    <row r="76">
      <c r="A76" t="n">
        <v>751</v>
      </c>
    </row>
    <row r="77">
      <c r="A77" t="n">
        <v>751</v>
      </c>
    </row>
    <row r="78">
      <c r="A78" t="n">
        <v>751</v>
      </c>
    </row>
    <row r="79">
      <c r="A79" t="n">
        <v>751</v>
      </c>
    </row>
    <row r="80">
      <c r="A80" t="n">
        <v>751</v>
      </c>
    </row>
    <row r="81">
      <c r="A81" t="n">
        <v>752</v>
      </c>
    </row>
    <row r="82">
      <c r="A82" t="n">
        <v>752</v>
      </c>
    </row>
    <row r="83">
      <c r="A83" t="n">
        <v>753</v>
      </c>
    </row>
    <row r="84">
      <c r="A84" t="n">
        <v>753</v>
      </c>
    </row>
    <row r="85">
      <c r="A85" t="n">
        <v>754</v>
      </c>
    </row>
    <row r="86">
      <c r="A86" t="n">
        <v>754</v>
      </c>
    </row>
    <row r="87">
      <c r="A87" t="n">
        <v>754</v>
      </c>
    </row>
    <row r="88">
      <c r="A88" t="n">
        <v>755</v>
      </c>
    </row>
    <row r="89">
      <c r="A89" t="n">
        <v>755</v>
      </c>
    </row>
    <row r="90">
      <c r="A90" t="n">
        <v>755</v>
      </c>
    </row>
    <row r="91">
      <c r="A91" t="n">
        <v>755</v>
      </c>
    </row>
    <row r="92">
      <c r="A92" t="n">
        <v>756</v>
      </c>
    </row>
    <row r="93">
      <c r="A93" t="n">
        <v>757</v>
      </c>
    </row>
    <row r="94">
      <c r="A94" t="n">
        <v>757</v>
      </c>
    </row>
    <row r="95">
      <c r="A95" t="n">
        <v>757</v>
      </c>
    </row>
    <row r="96">
      <c r="A96" t="n">
        <v>757</v>
      </c>
    </row>
    <row r="97">
      <c r="A97" t="n">
        <v>757</v>
      </c>
    </row>
    <row r="98">
      <c r="A98" t="n">
        <v>758</v>
      </c>
    </row>
    <row r="99">
      <c r="A99" t="n">
        <v>758</v>
      </c>
    </row>
    <row r="100">
      <c r="A100" t="n">
        <v>758</v>
      </c>
    </row>
    <row r="101">
      <c r="A101" t="n">
        <v>760</v>
      </c>
    </row>
    <row r="102">
      <c r="A102" t="n">
        <v>761</v>
      </c>
    </row>
    <row r="103">
      <c r="A103" t="n">
        <v>761</v>
      </c>
    </row>
    <row r="104">
      <c r="A104" t="n">
        <v>761</v>
      </c>
    </row>
    <row r="105">
      <c r="A105" t="n">
        <v>761</v>
      </c>
    </row>
    <row r="106">
      <c r="A106" t="n">
        <v>762</v>
      </c>
    </row>
    <row r="107">
      <c r="A107" t="n">
        <v>762</v>
      </c>
    </row>
    <row r="108">
      <c r="A108" t="n">
        <v>764</v>
      </c>
    </row>
    <row r="109">
      <c r="A109" t="n">
        <v>764</v>
      </c>
    </row>
    <row r="110">
      <c r="A110" t="n">
        <v>765</v>
      </c>
    </row>
    <row r="111">
      <c r="A111" t="n">
        <v>765</v>
      </c>
    </row>
    <row r="112">
      <c r="A112" t="n">
        <v>765</v>
      </c>
    </row>
    <row r="113">
      <c r="A113" t="n">
        <v>766</v>
      </c>
    </row>
    <row r="114">
      <c r="A114" t="n">
        <v>767</v>
      </c>
    </row>
    <row r="115">
      <c r="A115" t="n">
        <v>767</v>
      </c>
    </row>
    <row r="116">
      <c r="A116" t="n">
        <v>767</v>
      </c>
    </row>
    <row r="117">
      <c r="A117" t="n">
        <v>767</v>
      </c>
    </row>
    <row r="118">
      <c r="A118" t="n">
        <v>767</v>
      </c>
    </row>
    <row r="119">
      <c r="A119" t="n">
        <v>768</v>
      </c>
    </row>
    <row r="120">
      <c r="A120" t="n">
        <v>768</v>
      </c>
    </row>
    <row r="121">
      <c r="A121" t="n">
        <v>768</v>
      </c>
    </row>
    <row r="122">
      <c r="A122" t="n">
        <v>770</v>
      </c>
    </row>
    <row r="123">
      <c r="A123" t="n">
        <v>771</v>
      </c>
    </row>
    <row r="124">
      <c r="A124" t="n">
        <v>771</v>
      </c>
    </row>
    <row r="125">
      <c r="A125" t="n">
        <v>771</v>
      </c>
    </row>
    <row r="126">
      <c r="A126" t="n">
        <v>771</v>
      </c>
    </row>
    <row r="127">
      <c r="A127" t="n">
        <v>772</v>
      </c>
    </row>
    <row r="128">
      <c r="A128" t="n">
        <v>772</v>
      </c>
    </row>
    <row r="129">
      <c r="A129" t="n">
        <v>774</v>
      </c>
    </row>
    <row r="130">
      <c r="A130" t="n">
        <v>774</v>
      </c>
    </row>
    <row r="131">
      <c r="A131" t="n">
        <v>775</v>
      </c>
    </row>
    <row r="132">
      <c r="A132" t="n">
        <v>775</v>
      </c>
    </row>
    <row r="133">
      <c r="A133" t="n">
        <v>775</v>
      </c>
    </row>
    <row r="134">
      <c r="A134" t="n">
        <v>776</v>
      </c>
    </row>
    <row r="135">
      <c r="A135" t="n">
        <v>777</v>
      </c>
    </row>
    <row r="136">
      <c r="A136" t="n">
        <v>777</v>
      </c>
    </row>
    <row r="137">
      <c r="A137" t="n">
        <v>777</v>
      </c>
    </row>
    <row r="138">
      <c r="A138" t="n">
        <v>778</v>
      </c>
    </row>
    <row r="139">
      <c r="A139" t="n">
        <v>778</v>
      </c>
    </row>
    <row r="140">
      <c r="A140" t="n">
        <v>780</v>
      </c>
    </row>
    <row r="141">
      <c r="A141" t="n">
        <v>781</v>
      </c>
    </row>
    <row r="142">
      <c r="A142" t="n">
        <v>782</v>
      </c>
    </row>
    <row r="143">
      <c r="A143" t="n">
        <v>782</v>
      </c>
    </row>
    <row r="144">
      <c r="A144" t="n">
        <v>784</v>
      </c>
    </row>
    <row r="145">
      <c r="A145" t="n">
        <v>785</v>
      </c>
    </row>
    <row r="146">
      <c r="A146" t="n">
        <v>787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2026-10-02T23:08:01Z</dcterms:created>
  <dcterms:modified xsi:type="dcterms:W3CDTF">2026-10-02T23:08:01Z</dcterms:modified>
</cp:coreProperties>
</file>